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jehi9337_colorado_edu/Documents/ECEN5613_ESD/Project.git/Simulation/"/>
    </mc:Choice>
  </mc:AlternateContent>
  <xr:revisionPtr revIDLastSave="0" documentId="10_ncr:0_{746F81E3-788D-4009-9D1C-70D3EEB87987}" xr6:coauthVersionLast="45" xr6:coauthVersionMax="45" xr10:uidLastSave="{00000000-0000-0000-0000-000000000000}"/>
  <bookViews>
    <workbookView xWindow="-110" yWindow="-110" windowWidth="19420" windowHeight="10420" xr2:uid="{F9D85835-911D-448C-9BE9-0D353FC012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6" i="1" l="1"/>
  <c r="E15" i="1"/>
  <c r="B16" i="1"/>
  <c r="B15" i="1"/>
  <c r="E10" i="1"/>
  <c r="E11" i="1" s="1"/>
  <c r="E12" i="1" s="1"/>
  <c r="E9" i="1"/>
  <c r="E8" i="1"/>
  <c r="E7" i="1"/>
  <c r="E5" i="1"/>
  <c r="B8" i="1"/>
  <c r="B10" i="1"/>
  <c r="B5" i="1"/>
  <c r="B11" i="1" l="1"/>
  <c r="B12" i="1" s="1"/>
  <c r="G12" i="1" s="1"/>
</calcChain>
</file>

<file path=xl/sharedStrings.xml><?xml version="1.0" encoding="utf-8"?>
<sst xmlns="http://schemas.openxmlformats.org/spreadsheetml/2006/main" count="14" uniqueCount="14">
  <si>
    <t>Vin</t>
  </si>
  <si>
    <t>Vout</t>
  </si>
  <si>
    <t>D</t>
  </si>
  <si>
    <t>L</t>
  </si>
  <si>
    <t>Imp</t>
  </si>
  <si>
    <t>f</t>
  </si>
  <si>
    <t>ton</t>
  </si>
  <si>
    <t>period</t>
  </si>
  <si>
    <t>di</t>
  </si>
  <si>
    <t>Iout</t>
  </si>
  <si>
    <t>effic</t>
  </si>
  <si>
    <t>Iout pk</t>
  </si>
  <si>
    <t>Boost</t>
  </si>
  <si>
    <t>Buck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</si>
</sst>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97251-A940-4799-8134-08E2C200C31F}">
  <dimension ref="A2:G16"/>
  <sheetViews>
    <sheetView tabSelected="1" workbookViewId="0">
      <selection activeCell="B10" sqref="B10"/>
    </sheetView>
  </sheetViews>
  <sheetFormatPr defaultRowHeight="14.5" x14ac:dyDescent="0.35"/>
  <cols>
    <col min="5" max="5" width="9.81640625" bestFit="1" customWidth="1"/>
  </cols>
  <sheetData>
    <row r="2" spans="1:7" x14ac:dyDescent="0.35">
      <c r="B2" t="s">
        <v>12</v>
      </c>
      <c r="E2" t="s">
        <v>13</v>
      </c>
    </row>
    <row r="3" spans="1:7" x14ac:dyDescent="0.35">
      <c r="A3" t="s">
        <v>0</v>
      </c>
      <c r="B3">
        <v>12</v>
      </c>
      <c r="E3">
        <v>12</v>
      </c>
    </row>
    <row r="4" spans="1:7" x14ac:dyDescent="0.35">
      <c r="A4" t="s">
        <v>1</v>
      </c>
      <c r="B4">
        <v>30</v>
      </c>
      <c r="E4">
        <v>6</v>
      </c>
    </row>
    <row r="5" spans="1:7" x14ac:dyDescent="0.35">
      <c r="A5" t="s">
        <v>2</v>
      </c>
      <c r="B5">
        <f>B4/(B3+B4)</f>
        <v>0.7142857142857143</v>
      </c>
      <c r="E5">
        <f>E4/E3</f>
        <v>0.5</v>
      </c>
    </row>
    <row r="7" spans="1:7" x14ac:dyDescent="0.35">
      <c r="A7" t="s">
        <v>4</v>
      </c>
      <c r="B7">
        <v>0.2</v>
      </c>
      <c r="E7">
        <f>B7</f>
        <v>0.2</v>
      </c>
    </row>
    <row r="8" spans="1:7" x14ac:dyDescent="0.35">
      <c r="A8" t="s">
        <v>8</v>
      </c>
      <c r="B8">
        <f>B7/10</f>
        <v>0.02</v>
      </c>
      <c r="E8">
        <f>B8</f>
        <v>0.02</v>
      </c>
    </row>
    <row r="9" spans="1:7" x14ac:dyDescent="0.35">
      <c r="A9" t="s">
        <v>5</v>
      </c>
      <c r="B9">
        <v>100000</v>
      </c>
      <c r="E9">
        <f>B9</f>
        <v>100000</v>
      </c>
    </row>
    <row r="10" spans="1:7" x14ac:dyDescent="0.35">
      <c r="A10" t="s">
        <v>7</v>
      </c>
      <c r="B10">
        <f>1/B9</f>
        <v>1.0000000000000001E-5</v>
      </c>
      <c r="E10">
        <f>B10</f>
        <v>1.0000000000000001E-5</v>
      </c>
    </row>
    <row r="11" spans="1:7" x14ac:dyDescent="0.35">
      <c r="A11" t="s">
        <v>6</v>
      </c>
      <c r="B11">
        <f>B10*B5</f>
        <v>7.1428571428571436E-6</v>
      </c>
      <c r="E11">
        <f>E10*E5</f>
        <v>5.0000000000000004E-6</v>
      </c>
    </row>
    <row r="12" spans="1:7" x14ac:dyDescent="0.35">
      <c r="A12" t="s">
        <v>3</v>
      </c>
      <c r="B12">
        <f>B3*B11/B8</f>
        <v>4.2857142857142859E-3</v>
      </c>
      <c r="E12">
        <f>(E3-E4)*E11/E8</f>
        <v>1.5000000000000002E-3</v>
      </c>
      <c r="G12">
        <f>(B12+E12)/2</f>
        <v>2.8928571428571432E-3</v>
      </c>
    </row>
    <row r="14" spans="1:7" x14ac:dyDescent="0.35">
      <c r="A14" t="s">
        <v>10</v>
      </c>
      <c r="B14">
        <v>0.95</v>
      </c>
      <c r="E14">
        <v>0.95</v>
      </c>
    </row>
    <row r="15" spans="1:7" x14ac:dyDescent="0.35">
      <c r="A15" t="s">
        <v>9</v>
      </c>
      <c r="B15">
        <f>B14*B3*B7/B4</f>
        <v>7.5999999999999998E-2</v>
      </c>
      <c r="E15">
        <f>E14*E3*E7/E4</f>
        <v>0.37999999999999995</v>
      </c>
    </row>
    <row r="16" spans="1:7" x14ac:dyDescent="0.35">
      <c r="A16" t="s">
        <v>11</v>
      </c>
      <c r="B16">
        <f>B7+B8</f>
        <v>0.22</v>
      </c>
      <c r="E16">
        <f>E7+E8</f>
        <v>0.22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FD832F586CF4497975190EFF09D58" ma:contentTypeVersion="9" ma:contentTypeDescription="Create a new document." ma:contentTypeScope="" ma:versionID="142a7fbb4b1e07a15e6923dcd2c9cd5e">
  <xsd:schema xmlns:xsd="http://www.w3.org/2001/XMLSchema" xmlns:xs="http://www.w3.org/2001/XMLSchema" xmlns:p="http://schemas.microsoft.com/office/2006/metadata/properties" xmlns:ns3="9a465402-28f1-4d3c-b936-7f93314b2b86" targetNamespace="http://schemas.microsoft.com/office/2006/metadata/properties" ma:root="true" ma:fieldsID="4d40c2cb0e94d43bc9b88b47dc761783" ns3:_="">
    <xsd:import namespace="9a465402-28f1-4d3c-b936-7f93314b2b8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465402-28f1-4d3c-b936-7f93314b2b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AD23E9A-1757-46DA-9FD8-C294CEE68B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465402-28f1-4d3c-b936-7f93314b2b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4EF6138-72DE-490F-BC0D-C395AC940A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9DFEDA-817A-4E0E-B527-71EF073611C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Jerome</dc:creator>
  <cp:lastModifiedBy>Jerome</cp:lastModifiedBy>
  <dcterms:created xsi:type="dcterms:W3CDTF">2019-10-20T03:02:28Z</dcterms:created>
  <dcterms:modified xsi:type="dcterms:W3CDTF">2019-10-30T12:07:39Z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0x01010051DFD832F586CF4497975190EFF09D58</vt:lpwstr>
  </property>
</Properties>
</file>