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ehi9337_colorado_edu/Documents/ECEN5613_ESD/Project.git/Schematics/PowerBoard/Buck-Boost Power Board/Project Outputs for Buck-Boost Power Board/Reports/BOM/"/>
    </mc:Choice>
  </mc:AlternateContent>
  <xr:revisionPtr revIDLastSave="30" documentId="8_{A1A19DFC-FB5C-4EAE-A720-F9E8D27AD15D}" xr6:coauthVersionLast="45" xr6:coauthVersionMax="45" xr10:uidLastSave="{A9885D4C-3F53-4F2D-924F-A62027E08370}"/>
  <bookViews>
    <workbookView xWindow="340" yWindow="1370" windowWidth="14400" windowHeight="7360" xr2:uid="{DBA2CCFB-072E-418A-A9A6-0CAFB6CA0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</calcChain>
</file>

<file path=xl/sharedStrings.xml><?xml version="1.0" encoding="utf-8"?>
<sst xmlns="http://schemas.openxmlformats.org/spreadsheetml/2006/main" count="107" uniqueCount="88">
  <si>
    <t>Part Number</t>
  </si>
  <si>
    <t>Quantity</t>
  </si>
  <si>
    <t>Designator</t>
  </si>
  <si>
    <t>Description</t>
  </si>
  <si>
    <t>Footprint</t>
  </si>
  <si>
    <t>Value</t>
  </si>
  <si>
    <t>Voltage</t>
  </si>
  <si>
    <t>TRJC106K035R0600</t>
  </si>
  <si>
    <t>C1, C7</t>
  </si>
  <si>
    <t>Capacitor, 600mohm, 200mA@100kHz</t>
  </si>
  <si>
    <t>C2312 Tantalum</t>
  </si>
  <si>
    <t>10uF</t>
  </si>
  <si>
    <t>35V</t>
  </si>
  <si>
    <t>CL21B104KBCNNNC</t>
  </si>
  <si>
    <t>C2, C3, C4, C5, C8, C10, C11, C12, C13, C14</t>
  </si>
  <si>
    <t>Capacitor</t>
  </si>
  <si>
    <t>C0805</t>
  </si>
  <si>
    <t>0.1uF</t>
  </si>
  <si>
    <t>50V</t>
  </si>
  <si>
    <t>TAJC105K050RNJ</t>
  </si>
  <si>
    <t>C6</t>
  </si>
  <si>
    <t>1uF</t>
  </si>
  <si>
    <t>CL10B104KB8NNNC</t>
  </si>
  <si>
    <t>C9, C16, C17</t>
  </si>
  <si>
    <t>C0603</t>
  </si>
  <si>
    <t>TAJA106K016RNJV</t>
  </si>
  <si>
    <t>C15</t>
  </si>
  <si>
    <t>C1206 Tantalum</t>
  </si>
  <si>
    <t>16V</t>
  </si>
  <si>
    <t>MBRS260T3G</t>
  </si>
  <si>
    <t>D1</t>
  </si>
  <si>
    <t>Schottky Diode</t>
  </si>
  <si>
    <t>SMB</t>
  </si>
  <si>
    <t>LTST-C193KRKT-5A</t>
  </si>
  <si>
    <t>D2, D3, D4, D5, D6, D7, D8, D9</t>
  </si>
  <si>
    <t>Red LED</t>
  </si>
  <si>
    <t>0603_LED_Red</t>
  </si>
  <si>
    <t>J1, J2</t>
  </si>
  <si>
    <t>TERM BLOCK 4POS 45DEG 3.5MM PCB</t>
  </si>
  <si>
    <t>300V</t>
  </si>
  <si>
    <t>1410606C or 1410604C</t>
  </si>
  <si>
    <t>L1</t>
  </si>
  <si>
    <t>Inductor</t>
  </si>
  <si>
    <t>141060XC</t>
  </si>
  <si>
    <t>10mH</t>
  </si>
  <si>
    <t>P1</t>
  </si>
  <si>
    <t>Header, 2-Pin, 100mil</t>
  </si>
  <si>
    <t>HDR1X2</t>
  </si>
  <si>
    <t>P2</t>
  </si>
  <si>
    <t>Header, 8-Pin, 100mil</t>
  </si>
  <si>
    <t>HDR1X8</t>
  </si>
  <si>
    <t>Q1, Q4, Q5</t>
  </si>
  <si>
    <t>N-Channel MOSFET</t>
  </si>
  <si>
    <t>SOT223</t>
  </si>
  <si>
    <t>ZXMP6A17GTA</t>
  </si>
  <si>
    <t>Q2, Q3</t>
  </si>
  <si>
    <t>P-Channel MOSFET</t>
  </si>
  <si>
    <t>RC0805FR-072K15L</t>
  </si>
  <si>
    <t>R1</t>
  </si>
  <si>
    <t>Resistor</t>
  </si>
  <si>
    <t>R0805</t>
  </si>
  <si>
    <t>2.15k</t>
  </si>
  <si>
    <t>RC0603FR-07249RL</t>
  </si>
  <si>
    <t>R2</t>
  </si>
  <si>
    <t>R0603</t>
  </si>
  <si>
    <t>RC0603FR-071ML</t>
  </si>
  <si>
    <t>R3, R10, R11, R19, R20</t>
  </si>
  <si>
    <t>1.0M</t>
  </si>
  <si>
    <t>RC0603FR-0710KL</t>
  </si>
  <si>
    <t>R4, R5, R9, R12, R22, R23</t>
  </si>
  <si>
    <t>10k</t>
  </si>
  <si>
    <t>RC0805FR-072KL</t>
  </si>
  <si>
    <t>R6, R7, R24, R25</t>
  </si>
  <si>
    <t>2k</t>
  </si>
  <si>
    <t>RC0603FR-07470RL</t>
  </si>
  <si>
    <t>R8, R13, R18, R21</t>
  </si>
  <si>
    <t>RC1206FR-0710RL</t>
  </si>
  <si>
    <t>R14, R15, R16, R17</t>
  </si>
  <si>
    <t>R1206</t>
  </si>
  <si>
    <t>LM337LZ/NOPB</t>
  </si>
  <si>
    <t>U1</t>
  </si>
  <si>
    <t>Negative Voltage Regulator</t>
  </si>
  <si>
    <t>TO-92A</t>
  </si>
  <si>
    <t>ADuM4120-1ARIZ</t>
  </si>
  <si>
    <t>U2, U3, U4, U5, U6</t>
  </si>
  <si>
    <t>Isolated Gate-Driver</t>
  </si>
  <si>
    <t>SOIC RI-6-1</t>
  </si>
  <si>
    <t>NDT014L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</si>
</sst>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508C-EFF0-4227-BA6D-93E23FF49F43}">
  <dimension ref="A1:I24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A11" sqref="A11"/>
    </sheetView>
  </sheetViews>
  <sheetFormatPr defaultRowHeight="14.5" x14ac:dyDescent="0.35"/>
  <cols>
    <col min="1" max="1" width="19.90625" bestFit="1" customWidth="1"/>
    <col min="2" max="2" width="8" bestFit="1" customWidth="1"/>
    <col min="3" max="3" width="35.453125" bestFit="1" customWidth="1"/>
    <col min="4" max="4" width="33.08984375" bestFit="1" customWidth="1"/>
    <col min="5" max="5" width="14.36328125" bestFit="1" customWidth="1"/>
    <col min="6" max="6" width="5.7265625" bestFit="1" customWidth="1"/>
    <col min="7" max="7" width="7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5">
      <c r="I2">
        <v>5</v>
      </c>
    </row>
    <row r="3" spans="1:9" x14ac:dyDescent="0.35">
      <c r="A3" s="1" t="s">
        <v>7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I3" s="1">
        <f>B3*$I$2</f>
        <v>10</v>
      </c>
    </row>
    <row r="4" spans="1:9" x14ac:dyDescent="0.35">
      <c r="A4" s="1" t="s">
        <v>13</v>
      </c>
      <c r="B4">
        <v>10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I4" s="1">
        <f t="shared" ref="I4:I24" si="0">B4*$I$2</f>
        <v>50</v>
      </c>
    </row>
    <row r="5" spans="1:9" x14ac:dyDescent="0.35">
      <c r="A5" s="1" t="s">
        <v>19</v>
      </c>
      <c r="B5">
        <v>1</v>
      </c>
      <c r="C5" t="s">
        <v>20</v>
      </c>
      <c r="D5" t="s">
        <v>9</v>
      </c>
      <c r="E5" t="s">
        <v>10</v>
      </c>
      <c r="F5" t="s">
        <v>21</v>
      </c>
      <c r="G5" t="s">
        <v>18</v>
      </c>
      <c r="I5" s="1">
        <f t="shared" si="0"/>
        <v>5</v>
      </c>
    </row>
    <row r="6" spans="1:9" x14ac:dyDescent="0.35">
      <c r="A6" s="1" t="s">
        <v>22</v>
      </c>
      <c r="B6">
        <v>3</v>
      </c>
      <c r="C6" t="s">
        <v>23</v>
      </c>
      <c r="D6" t="s">
        <v>15</v>
      </c>
      <c r="E6" t="s">
        <v>24</v>
      </c>
      <c r="F6" t="s">
        <v>17</v>
      </c>
      <c r="G6" t="s">
        <v>18</v>
      </c>
      <c r="I6" s="1">
        <f t="shared" si="0"/>
        <v>15</v>
      </c>
    </row>
    <row r="7" spans="1:9" x14ac:dyDescent="0.35">
      <c r="A7" s="1" t="s">
        <v>25</v>
      </c>
      <c r="B7">
        <v>1</v>
      </c>
      <c r="C7" t="s">
        <v>26</v>
      </c>
      <c r="D7" t="s">
        <v>9</v>
      </c>
      <c r="E7" t="s">
        <v>27</v>
      </c>
      <c r="F7" t="s">
        <v>11</v>
      </c>
      <c r="G7" t="s">
        <v>28</v>
      </c>
      <c r="I7" s="1">
        <f t="shared" si="0"/>
        <v>5</v>
      </c>
    </row>
    <row r="8" spans="1:9" x14ac:dyDescent="0.35">
      <c r="A8" s="1" t="s">
        <v>29</v>
      </c>
      <c r="B8">
        <v>1</v>
      </c>
      <c r="C8" t="s">
        <v>30</v>
      </c>
      <c r="D8" t="s">
        <v>31</v>
      </c>
      <c r="E8" t="s">
        <v>32</v>
      </c>
      <c r="I8" s="1">
        <f t="shared" si="0"/>
        <v>5</v>
      </c>
    </row>
    <row r="9" spans="1:9" x14ac:dyDescent="0.35">
      <c r="A9" s="1" t="s">
        <v>33</v>
      </c>
      <c r="B9">
        <v>8</v>
      </c>
      <c r="C9" t="s">
        <v>34</v>
      </c>
      <c r="D9" t="s">
        <v>35</v>
      </c>
      <c r="E9" t="s">
        <v>36</v>
      </c>
      <c r="I9" s="1">
        <f t="shared" si="0"/>
        <v>40</v>
      </c>
    </row>
    <row r="10" spans="1:9" x14ac:dyDescent="0.35">
      <c r="A10" s="1">
        <v>1885670000</v>
      </c>
      <c r="B10">
        <v>2</v>
      </c>
      <c r="C10" t="s">
        <v>37</v>
      </c>
      <c r="D10" t="s">
        <v>38</v>
      </c>
      <c r="E10">
        <v>1885670000</v>
      </c>
      <c r="G10" t="s">
        <v>39</v>
      </c>
      <c r="I10" s="1">
        <f t="shared" si="0"/>
        <v>10</v>
      </c>
    </row>
    <row r="11" spans="1:9" x14ac:dyDescent="0.35">
      <c r="A11" t="s">
        <v>40</v>
      </c>
      <c r="B11">
        <v>1</v>
      </c>
      <c r="C11" t="s">
        <v>41</v>
      </c>
      <c r="D11" t="s">
        <v>42</v>
      </c>
      <c r="E11" t="s">
        <v>43</v>
      </c>
      <c r="F11" t="s">
        <v>44</v>
      </c>
      <c r="I11">
        <f t="shared" si="0"/>
        <v>5</v>
      </c>
    </row>
    <row r="12" spans="1:9" x14ac:dyDescent="0.35">
      <c r="B12">
        <v>1</v>
      </c>
      <c r="C12" t="s">
        <v>45</v>
      </c>
      <c r="D12" t="s">
        <v>46</v>
      </c>
      <c r="E12" t="s">
        <v>47</v>
      </c>
      <c r="I12">
        <f t="shared" si="0"/>
        <v>5</v>
      </c>
    </row>
    <row r="13" spans="1:9" x14ac:dyDescent="0.35">
      <c r="B13">
        <v>1</v>
      </c>
      <c r="C13" t="s">
        <v>48</v>
      </c>
      <c r="D13" t="s">
        <v>49</v>
      </c>
      <c r="E13" t="s">
        <v>50</v>
      </c>
      <c r="I13">
        <f t="shared" si="0"/>
        <v>5</v>
      </c>
    </row>
    <row r="14" spans="1:9" x14ac:dyDescent="0.35">
      <c r="A14" s="1" t="s">
        <v>87</v>
      </c>
      <c r="B14">
        <v>3</v>
      </c>
      <c r="C14" t="s">
        <v>51</v>
      </c>
      <c r="D14" t="s">
        <v>52</v>
      </c>
      <c r="E14" t="s">
        <v>53</v>
      </c>
      <c r="I14" s="1">
        <f t="shared" si="0"/>
        <v>15</v>
      </c>
    </row>
    <row r="15" spans="1:9" x14ac:dyDescent="0.35">
      <c r="A15" s="1" t="s">
        <v>54</v>
      </c>
      <c r="B15">
        <v>2</v>
      </c>
      <c r="C15" t="s">
        <v>55</v>
      </c>
      <c r="D15" t="s">
        <v>56</v>
      </c>
      <c r="E15" t="s">
        <v>53</v>
      </c>
      <c r="I15" s="1">
        <f t="shared" si="0"/>
        <v>10</v>
      </c>
    </row>
    <row r="16" spans="1:9" x14ac:dyDescent="0.35">
      <c r="A16" s="1" t="s">
        <v>57</v>
      </c>
      <c r="B16">
        <v>1</v>
      </c>
      <c r="C16" t="s">
        <v>58</v>
      </c>
      <c r="D16" t="s">
        <v>59</v>
      </c>
      <c r="E16" t="s">
        <v>60</v>
      </c>
      <c r="F16" t="s">
        <v>61</v>
      </c>
      <c r="I16">
        <f t="shared" si="0"/>
        <v>5</v>
      </c>
    </row>
    <row r="17" spans="1:9" x14ac:dyDescent="0.35">
      <c r="A17" s="1" t="s">
        <v>62</v>
      </c>
      <c r="B17">
        <v>1</v>
      </c>
      <c r="C17" t="s">
        <v>63</v>
      </c>
      <c r="D17" t="s">
        <v>59</v>
      </c>
      <c r="E17" t="s">
        <v>64</v>
      </c>
      <c r="F17">
        <v>249</v>
      </c>
      <c r="I17">
        <f t="shared" si="0"/>
        <v>5</v>
      </c>
    </row>
    <row r="18" spans="1:9" x14ac:dyDescent="0.35">
      <c r="A18" s="1" t="s">
        <v>65</v>
      </c>
      <c r="B18">
        <v>5</v>
      </c>
      <c r="C18" t="s">
        <v>66</v>
      </c>
      <c r="D18" t="s">
        <v>59</v>
      </c>
      <c r="E18" t="s">
        <v>64</v>
      </c>
      <c r="F18" t="s">
        <v>67</v>
      </c>
      <c r="I18">
        <f t="shared" si="0"/>
        <v>25</v>
      </c>
    </row>
    <row r="19" spans="1:9" x14ac:dyDescent="0.35">
      <c r="A19" s="1" t="s">
        <v>68</v>
      </c>
      <c r="B19">
        <v>6</v>
      </c>
      <c r="C19" t="s">
        <v>69</v>
      </c>
      <c r="D19" t="s">
        <v>59</v>
      </c>
      <c r="E19" t="s">
        <v>64</v>
      </c>
      <c r="F19" t="s">
        <v>70</v>
      </c>
      <c r="I19">
        <f t="shared" si="0"/>
        <v>30</v>
      </c>
    </row>
    <row r="20" spans="1:9" x14ac:dyDescent="0.35">
      <c r="A20" s="1" t="s">
        <v>71</v>
      </c>
      <c r="B20">
        <v>4</v>
      </c>
      <c r="C20" t="s">
        <v>72</v>
      </c>
      <c r="D20" t="s">
        <v>59</v>
      </c>
      <c r="E20" t="s">
        <v>64</v>
      </c>
      <c r="F20" t="s">
        <v>73</v>
      </c>
      <c r="I20">
        <f t="shared" si="0"/>
        <v>20</v>
      </c>
    </row>
    <row r="21" spans="1:9" x14ac:dyDescent="0.35">
      <c r="A21" s="1" t="s">
        <v>74</v>
      </c>
      <c r="B21">
        <v>4</v>
      </c>
      <c r="C21" t="s">
        <v>75</v>
      </c>
      <c r="D21" t="s">
        <v>59</v>
      </c>
      <c r="E21" t="s">
        <v>64</v>
      </c>
      <c r="F21">
        <v>470</v>
      </c>
      <c r="I21">
        <f t="shared" si="0"/>
        <v>20</v>
      </c>
    </row>
    <row r="22" spans="1:9" x14ac:dyDescent="0.35">
      <c r="A22" s="1" t="s">
        <v>76</v>
      </c>
      <c r="B22">
        <v>4</v>
      </c>
      <c r="C22" t="s">
        <v>77</v>
      </c>
      <c r="D22" t="s">
        <v>59</v>
      </c>
      <c r="E22" t="s">
        <v>78</v>
      </c>
      <c r="F22">
        <v>10</v>
      </c>
      <c r="I22">
        <f t="shared" si="0"/>
        <v>20</v>
      </c>
    </row>
    <row r="23" spans="1:9" x14ac:dyDescent="0.35">
      <c r="A23" s="1" t="s">
        <v>79</v>
      </c>
      <c r="B23">
        <v>1</v>
      </c>
      <c r="C23" t="s">
        <v>80</v>
      </c>
      <c r="D23" t="s">
        <v>81</v>
      </c>
      <c r="E23" t="s">
        <v>82</v>
      </c>
      <c r="I23">
        <f t="shared" si="0"/>
        <v>5</v>
      </c>
    </row>
    <row r="24" spans="1:9" x14ac:dyDescent="0.35">
      <c r="A24" t="s">
        <v>83</v>
      </c>
      <c r="B24">
        <v>5</v>
      </c>
      <c r="C24" t="s">
        <v>84</v>
      </c>
      <c r="D24" t="s">
        <v>85</v>
      </c>
      <c r="E24" t="s">
        <v>86</v>
      </c>
      <c r="I24">
        <f t="shared" si="0"/>
        <v>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FD832F586CF4497975190EFF09D58" ma:contentTypeVersion="9" ma:contentTypeDescription="Create a new document." ma:contentTypeScope="" ma:versionID="142a7fbb4b1e07a15e6923dcd2c9cd5e">
  <xsd:schema xmlns:xsd="http://www.w3.org/2001/XMLSchema" xmlns:xs="http://www.w3.org/2001/XMLSchema" xmlns:p="http://schemas.microsoft.com/office/2006/metadata/properties" xmlns:ns3="9a465402-28f1-4d3c-b936-7f93314b2b86" targetNamespace="http://schemas.microsoft.com/office/2006/metadata/properties" ma:root="true" ma:fieldsID="4d40c2cb0e94d43bc9b88b47dc761783" ns3:_="">
    <xsd:import namespace="9a465402-28f1-4d3c-b936-7f93314b2b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65402-28f1-4d3c-b936-7f93314b2b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35F22B-3698-4076-9C83-44315ED23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465402-28f1-4d3c-b936-7f93314b2b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E07ED4-6BA5-4699-BE90-75391E6D91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1B77B4-BE64-44CB-9BE9-BB71E5775DBD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9a465402-28f1-4d3c-b936-7f93314b2b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</dc:creator>
  <cp:lastModifiedBy>Jerome Hittle</cp:lastModifiedBy>
  <dcterms:created xsi:type="dcterms:W3CDTF">2019-10-29T20:12:13Z</dcterms:created>
  <dcterms:modified xsi:type="dcterms:W3CDTF">2019-10-29T23:32:38Z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0x01010051DFD832F586CF4497975190EFF09D58</vt:lpwstr>
  </property>
</Properties>
</file>